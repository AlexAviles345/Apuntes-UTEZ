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D - Unidad 3\"/>
    </mc:Choice>
  </mc:AlternateContent>
  <bookViews>
    <workbookView xWindow="0" yWindow="0" windowWidth="21570" windowHeight="7995" activeTab="1"/>
  </bookViews>
  <sheets>
    <sheet name="LinealSimple" sheetId="1" r:id="rId1"/>
    <sheet name="LinearMultiple" sheetId="2" r:id="rId2"/>
  </sheets>
  <calcPr calcId="162913"/>
</workbook>
</file>

<file path=xl/calcChain.xml><?xml version="1.0" encoding="utf-8"?>
<calcChain xmlns="http://schemas.openxmlformats.org/spreadsheetml/2006/main">
  <c r="J22" i="2" l="1"/>
  <c r="K16" i="2"/>
  <c r="K18" i="2"/>
  <c r="K17" i="2"/>
  <c r="M12" i="2"/>
  <c r="K13" i="2"/>
  <c r="M11" i="2"/>
  <c r="K12" i="2"/>
  <c r="K11" i="2"/>
  <c r="H3" i="2"/>
  <c r="H4" i="2"/>
  <c r="H5" i="2"/>
  <c r="H6" i="2"/>
  <c r="H7" i="2"/>
  <c r="H8" i="2"/>
  <c r="H9" i="2"/>
  <c r="H10" i="2"/>
  <c r="H11" i="2"/>
  <c r="H12" i="2"/>
  <c r="H13" i="2"/>
  <c r="H2" i="2"/>
  <c r="G3" i="2"/>
  <c r="G4" i="2"/>
  <c r="G5" i="2"/>
  <c r="G6" i="2"/>
  <c r="G7" i="2"/>
  <c r="G8" i="2"/>
  <c r="G9" i="2"/>
  <c r="G10" i="2"/>
  <c r="G11" i="2"/>
  <c r="G12" i="2"/>
  <c r="G13" i="2"/>
  <c r="G2" i="2"/>
  <c r="F3" i="2"/>
  <c r="F4" i="2"/>
  <c r="F5" i="2"/>
  <c r="F6" i="2"/>
  <c r="F7" i="2"/>
  <c r="F8" i="2"/>
  <c r="F9" i="2"/>
  <c r="F10" i="2"/>
  <c r="F11" i="2"/>
  <c r="F12" i="2"/>
  <c r="F13" i="2"/>
  <c r="F2" i="2"/>
  <c r="E3" i="2"/>
  <c r="E4" i="2"/>
  <c r="E5" i="2"/>
  <c r="E6" i="2"/>
  <c r="E7" i="2"/>
  <c r="E8" i="2"/>
  <c r="E9" i="2"/>
  <c r="E10" i="2"/>
  <c r="E11" i="2"/>
  <c r="E12" i="2"/>
  <c r="E13" i="2"/>
  <c r="E2" i="2"/>
  <c r="D3" i="2"/>
  <c r="D4" i="2"/>
  <c r="D5" i="2"/>
  <c r="D6" i="2"/>
  <c r="D7" i="2"/>
  <c r="D8" i="2"/>
  <c r="D9" i="2"/>
  <c r="D10" i="2"/>
  <c r="D11" i="2"/>
  <c r="D12" i="2"/>
  <c r="D13" i="2"/>
  <c r="D2" i="2"/>
  <c r="E3" i="1" l="1"/>
  <c r="E4" i="1"/>
  <c r="E5" i="1"/>
  <c r="E6" i="1"/>
  <c r="E7" i="1"/>
  <c r="E8" i="1"/>
  <c r="E9" i="1"/>
  <c r="E10" i="1"/>
  <c r="E11" i="1"/>
  <c r="E12" i="1"/>
  <c r="E13" i="1"/>
  <c r="E2" i="1"/>
  <c r="J3" i="1" s="1"/>
  <c r="I3" i="1"/>
  <c r="K3" i="1" s="1"/>
  <c r="D3" i="1"/>
  <c r="D4" i="1"/>
  <c r="D5" i="1"/>
  <c r="D6" i="1"/>
  <c r="D7" i="1"/>
  <c r="D8" i="1"/>
  <c r="D9" i="1"/>
  <c r="D10" i="1"/>
  <c r="D11" i="1"/>
  <c r="D12" i="1"/>
  <c r="D13" i="1"/>
  <c r="D2" i="1"/>
  <c r="H3" i="1" s="1"/>
  <c r="G3" i="1"/>
  <c r="H6" i="1" l="1"/>
  <c r="H7" i="1"/>
  <c r="G10" i="1" l="1"/>
</calcChain>
</file>

<file path=xl/sharedStrings.xml><?xml version="1.0" encoding="utf-8"?>
<sst xmlns="http://schemas.openxmlformats.org/spreadsheetml/2006/main" count="51" uniqueCount="45">
  <si>
    <t>Month</t>
  </si>
  <si>
    <t>Spend</t>
  </si>
  <si>
    <t>Sales</t>
  </si>
  <si>
    <t>y</t>
  </si>
  <si>
    <t>x</t>
  </si>
  <si>
    <t>Sy</t>
  </si>
  <si>
    <t>Sx</t>
  </si>
  <si>
    <t>Sxy</t>
  </si>
  <si>
    <t>x2</t>
  </si>
  <si>
    <t>x*y</t>
  </si>
  <si>
    <t>Y = b0 + b1 *x</t>
  </si>
  <si>
    <t xml:space="preserve"> </t>
  </si>
  <si>
    <t>b0 =</t>
  </si>
  <si>
    <t>b1 =</t>
  </si>
  <si>
    <t>Sx^2</t>
  </si>
  <si>
    <t>(Sx)^2</t>
  </si>
  <si>
    <t>x^2</t>
  </si>
  <si>
    <t>y = 1383.47 + 10.62 * x</t>
  </si>
  <si>
    <t>Fórmula</t>
  </si>
  <si>
    <t>Spend^2</t>
  </si>
  <si>
    <t>Spend*Sales</t>
  </si>
  <si>
    <t>Regresión linea múltiple</t>
  </si>
  <si>
    <t>1. Coeficientes de regresión</t>
  </si>
  <si>
    <t>x1</t>
  </si>
  <si>
    <t>x1^2</t>
  </si>
  <si>
    <t>x1y</t>
  </si>
  <si>
    <t>x1x2</t>
  </si>
  <si>
    <t>x2y</t>
  </si>
  <si>
    <t>x2^2</t>
  </si>
  <si>
    <t>Month^2</t>
  </si>
  <si>
    <t>Month*Sales</t>
  </si>
  <si>
    <t>Month*Spend</t>
  </si>
  <si>
    <t>Sx1^2</t>
  </si>
  <si>
    <t>Sx1y</t>
  </si>
  <si>
    <t>Sx1x2</t>
  </si>
  <si>
    <t>Sx2^2</t>
  </si>
  <si>
    <t>Sx2y</t>
  </si>
  <si>
    <t>b0</t>
  </si>
  <si>
    <t>b2</t>
  </si>
  <si>
    <t>b1</t>
  </si>
  <si>
    <t>Y = -567.61 + 541.37*x1 + 10.38*x2</t>
  </si>
  <si>
    <t>Si invierten 2000 mil en marketing en diciembre, cuanto obtendria en ventas?</t>
  </si>
  <si>
    <t>Formula</t>
  </si>
  <si>
    <t>y = b0 + b1x1 + b2x2</t>
  </si>
  <si>
    <t>2. Calculo de 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</si>
</sst>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657225</xdr:colOff>
      <xdr:row>11</xdr:row>
      <xdr:rowOff>66675</xdr:rowOff>
    </xdr:from>
    <xdr:to>
      <xdr:col>11</xdr:col>
      <xdr:colOff>457821</xdr:colOff>
      <xdr:row>14</xdr:row>
      <xdr:rowOff>28649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7225" y="2162175"/>
          <a:ext cx="4448796" cy="5334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19049</xdr:colOff>
      <xdr:row>2</xdr:row>
      <xdr:rowOff>0</xdr:rowOff>
    </xdr:from>
    <xdr:to>
      <xdr:col>13</xdr:col>
      <xdr:colOff>562683</xdr:colOff>
      <xdr:row>9</xdr:row>
      <xdr:rowOff>131602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7049" y="381000"/>
          <a:ext cx="3582109" cy="1465102"/>
        </a:xfrm>
        <a:prstGeom prst="rect">
          <a:avLst/>
        </a:prstGeom>
      </xdr:spPr>
    </xdr:pic>
    <xdr:clientData/>
  </xdr:twoCellAnchor>
  <xdr:twoCellAnchor editAs="oneCell">
    <xdr:from>
      <xdr:col>3</xdr:col>
      <xdr:colOff>142874</xdr:colOff>
      <xdr:row>14</xdr:row>
      <xdr:rowOff>142875</xdr:rowOff>
    </xdr:from>
    <xdr:to>
      <xdr:col>7</xdr:col>
      <xdr:colOff>753201</xdr:colOff>
      <xdr:row>20</xdr:row>
      <xdr:rowOff>130144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8874" y="2809875"/>
          <a:ext cx="3658327" cy="1130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D14" sqref="D14"/>
    </sheetView>
  </sheetViews>
  <sheetFormatPr baseColWidth="10" defaultRowHeight="15" x14ac:dyDescent="0.25"/>
  <cols>
    <col min="8" max="8" width="12" bestFit="1" customWidth="1"/>
    <col min="10" max="10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</row>
    <row r="2" spans="1:11" x14ac:dyDescent="0.25">
      <c r="A2">
        <v>1</v>
      </c>
      <c r="B2">
        <v>1000</v>
      </c>
      <c r="C2">
        <v>9914</v>
      </c>
      <c r="D2">
        <f>POWER(B2,2)</f>
        <v>1000000</v>
      </c>
      <c r="E2">
        <f>B2*C2</f>
        <v>9914000</v>
      </c>
      <c r="G2" t="s">
        <v>5</v>
      </c>
      <c r="H2" t="s">
        <v>14</v>
      </c>
      <c r="I2" t="s">
        <v>6</v>
      </c>
      <c r="J2" t="s">
        <v>7</v>
      </c>
      <c r="K2" t="s">
        <v>15</v>
      </c>
    </row>
    <row r="3" spans="1:11" x14ac:dyDescent="0.25">
      <c r="A3">
        <v>2</v>
      </c>
      <c r="B3">
        <v>4000</v>
      </c>
      <c r="C3">
        <v>40487</v>
      </c>
      <c r="D3">
        <f t="shared" ref="D3:D13" si="0">POWER(B3,2)</f>
        <v>16000000</v>
      </c>
      <c r="E3">
        <f t="shared" ref="E3:E13" si="1">B3*C3</f>
        <v>161948000</v>
      </c>
      <c r="G3">
        <f>SUM(C2:C13)</f>
        <v>850444</v>
      </c>
      <c r="H3">
        <f>SUM(D2:D13)</f>
        <v>716250000</v>
      </c>
      <c r="I3">
        <f>SUM(B2:B13)</f>
        <v>78500</v>
      </c>
      <c r="J3">
        <f>SUM(E2:E13)</f>
        <v>7716750000</v>
      </c>
      <c r="K3">
        <f>POWER(I3,2)</f>
        <v>6162250000</v>
      </c>
    </row>
    <row r="4" spans="1:11" x14ac:dyDescent="0.25">
      <c r="A4">
        <v>3</v>
      </c>
      <c r="B4">
        <v>5000</v>
      </c>
      <c r="C4">
        <v>54324</v>
      </c>
      <c r="D4">
        <f t="shared" si="0"/>
        <v>25000000</v>
      </c>
      <c r="E4">
        <f t="shared" si="1"/>
        <v>271620000</v>
      </c>
    </row>
    <row r="5" spans="1:11" x14ac:dyDescent="0.25">
      <c r="A5">
        <v>4</v>
      </c>
      <c r="B5">
        <v>4500</v>
      </c>
      <c r="C5">
        <v>50044</v>
      </c>
      <c r="D5">
        <f t="shared" si="0"/>
        <v>20250000</v>
      </c>
      <c r="E5">
        <f t="shared" si="1"/>
        <v>225198000</v>
      </c>
    </row>
    <row r="6" spans="1:11" x14ac:dyDescent="0.25">
      <c r="A6">
        <v>5</v>
      </c>
      <c r="B6">
        <v>3000</v>
      </c>
      <c r="C6">
        <v>34719</v>
      </c>
      <c r="D6">
        <f t="shared" si="0"/>
        <v>9000000</v>
      </c>
      <c r="E6">
        <f t="shared" si="1"/>
        <v>104157000</v>
      </c>
      <c r="F6" t="s">
        <v>11</v>
      </c>
      <c r="G6" t="s">
        <v>12</v>
      </c>
      <c r="H6">
        <f>(G3*H3-I3*J3)/(12*H3-K3)</f>
        <v>1383.4713801253724</v>
      </c>
      <c r="J6" s="1" t="s">
        <v>18</v>
      </c>
      <c r="K6" s="2" t="s">
        <v>10</v>
      </c>
    </row>
    <row r="7" spans="1:11" x14ac:dyDescent="0.25">
      <c r="A7">
        <v>6</v>
      </c>
      <c r="B7">
        <v>4000</v>
      </c>
      <c r="C7">
        <v>42551</v>
      </c>
      <c r="D7">
        <f t="shared" si="0"/>
        <v>16000000</v>
      </c>
      <c r="E7">
        <f t="shared" si="1"/>
        <v>170204000</v>
      </c>
      <c r="G7" t="s">
        <v>13</v>
      </c>
      <c r="H7">
        <f>((12*J3)-(I3*G3))/((12*H3)-K3)</f>
        <v>10.622195457815229</v>
      </c>
    </row>
    <row r="8" spans="1:11" x14ac:dyDescent="0.25">
      <c r="A8">
        <v>7</v>
      </c>
      <c r="B8">
        <v>9000</v>
      </c>
      <c r="C8">
        <v>94871</v>
      </c>
      <c r="D8">
        <f t="shared" si="0"/>
        <v>81000000</v>
      </c>
      <c r="E8">
        <f t="shared" si="1"/>
        <v>853839000</v>
      </c>
    </row>
    <row r="9" spans="1:11" x14ac:dyDescent="0.25">
      <c r="A9">
        <v>8</v>
      </c>
      <c r="B9">
        <v>11000</v>
      </c>
      <c r="C9">
        <v>118914</v>
      </c>
      <c r="D9">
        <f t="shared" si="0"/>
        <v>121000000</v>
      </c>
      <c r="E9">
        <f t="shared" si="1"/>
        <v>1308054000</v>
      </c>
      <c r="G9" t="s">
        <v>17</v>
      </c>
    </row>
    <row r="10" spans="1:11" x14ac:dyDescent="0.25">
      <c r="A10">
        <v>9</v>
      </c>
      <c r="B10">
        <v>15000</v>
      </c>
      <c r="C10">
        <v>158484</v>
      </c>
      <c r="D10">
        <f t="shared" si="0"/>
        <v>225000000</v>
      </c>
      <c r="E10">
        <f t="shared" si="1"/>
        <v>2377260000</v>
      </c>
      <c r="G10">
        <f>H6+H7*H10</f>
        <v>320049.33511458227</v>
      </c>
      <c r="H10">
        <v>30000</v>
      </c>
    </row>
    <row r="11" spans="1:11" x14ac:dyDescent="0.25">
      <c r="A11">
        <v>10</v>
      </c>
      <c r="B11">
        <v>12000</v>
      </c>
      <c r="C11">
        <v>131348</v>
      </c>
      <c r="D11">
        <f t="shared" si="0"/>
        <v>144000000</v>
      </c>
      <c r="E11">
        <f t="shared" si="1"/>
        <v>1576176000</v>
      </c>
    </row>
    <row r="12" spans="1:11" x14ac:dyDescent="0.25">
      <c r="A12">
        <v>11</v>
      </c>
      <c r="B12">
        <v>7000</v>
      </c>
      <c r="C12">
        <v>78504</v>
      </c>
      <c r="D12">
        <f t="shared" si="0"/>
        <v>49000000</v>
      </c>
      <c r="E12">
        <f t="shared" si="1"/>
        <v>549528000</v>
      </c>
    </row>
    <row r="13" spans="1:11" x14ac:dyDescent="0.25">
      <c r="A13">
        <v>12</v>
      </c>
      <c r="B13">
        <v>3000</v>
      </c>
      <c r="C13">
        <v>36284</v>
      </c>
      <c r="D13">
        <f t="shared" si="0"/>
        <v>9000000</v>
      </c>
      <c r="E13">
        <f t="shared" si="1"/>
        <v>108852000</v>
      </c>
    </row>
    <row r="14" spans="1:11" x14ac:dyDescent="0.25">
      <c r="B14" t="s">
        <v>4</v>
      </c>
      <c r="C14" t="s">
        <v>3</v>
      </c>
      <c r="D14" t="s">
        <v>16</v>
      </c>
      <c r="E14" t="s">
        <v>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J28" sqref="J28"/>
    </sheetView>
  </sheetViews>
  <sheetFormatPr baseColWidth="10" defaultRowHeight="15" x14ac:dyDescent="0.25"/>
  <cols>
    <col min="11" max="11" width="11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31</v>
      </c>
      <c r="G1" s="1" t="s">
        <v>20</v>
      </c>
      <c r="H1" s="1" t="s">
        <v>19</v>
      </c>
      <c r="J1" t="s">
        <v>21</v>
      </c>
    </row>
    <row r="2" spans="1:13" x14ac:dyDescent="0.25">
      <c r="A2">
        <v>1</v>
      </c>
      <c r="B2">
        <v>1000</v>
      </c>
      <c r="C2">
        <v>9914</v>
      </c>
      <c r="D2">
        <f>POWER(A2,2)</f>
        <v>1</v>
      </c>
      <c r="E2">
        <f>A2*C2</f>
        <v>9914</v>
      </c>
      <c r="F2">
        <f>A2*B2</f>
        <v>1000</v>
      </c>
      <c r="G2">
        <f>B2*C2</f>
        <v>9914000</v>
      </c>
      <c r="H2">
        <f>POWER(B2,2)</f>
        <v>1000000</v>
      </c>
      <c r="J2" t="s">
        <v>22</v>
      </c>
    </row>
    <row r="3" spans="1:13" x14ac:dyDescent="0.25">
      <c r="A3">
        <v>2</v>
      </c>
      <c r="B3">
        <v>4000</v>
      </c>
      <c r="C3">
        <v>40487</v>
      </c>
      <c r="D3">
        <f t="shared" ref="D3:D13" si="0">POWER(A3,2)</f>
        <v>4</v>
      </c>
      <c r="E3">
        <f t="shared" ref="E3:E13" si="1">A3*C3</f>
        <v>80974</v>
      </c>
      <c r="F3">
        <f t="shared" ref="F3:F13" si="2">A3*B3</f>
        <v>8000</v>
      </c>
      <c r="G3">
        <f t="shared" ref="G3:G13" si="3">B3*C3</f>
        <v>161948000</v>
      </c>
      <c r="H3">
        <f t="shared" ref="H3:H13" si="4">POWER(B3,2)</f>
        <v>16000000</v>
      </c>
    </row>
    <row r="4" spans="1:13" x14ac:dyDescent="0.25">
      <c r="A4">
        <v>3</v>
      </c>
      <c r="B4">
        <v>5000</v>
      </c>
      <c r="C4">
        <v>54324</v>
      </c>
      <c r="D4">
        <f t="shared" si="0"/>
        <v>9</v>
      </c>
      <c r="E4">
        <f t="shared" si="1"/>
        <v>162972</v>
      </c>
      <c r="F4">
        <f t="shared" si="2"/>
        <v>15000</v>
      </c>
      <c r="G4">
        <f t="shared" si="3"/>
        <v>271620000</v>
      </c>
      <c r="H4">
        <f t="shared" si="4"/>
        <v>25000000</v>
      </c>
    </row>
    <row r="5" spans="1:13" x14ac:dyDescent="0.25">
      <c r="A5">
        <v>4</v>
      </c>
      <c r="B5">
        <v>4500</v>
      </c>
      <c r="C5">
        <v>50044</v>
      </c>
      <c r="D5">
        <f t="shared" si="0"/>
        <v>16</v>
      </c>
      <c r="E5">
        <f t="shared" si="1"/>
        <v>200176</v>
      </c>
      <c r="F5">
        <f t="shared" si="2"/>
        <v>18000</v>
      </c>
      <c r="G5">
        <f t="shared" si="3"/>
        <v>225198000</v>
      </c>
      <c r="H5">
        <f t="shared" si="4"/>
        <v>20250000</v>
      </c>
    </row>
    <row r="6" spans="1:13" x14ac:dyDescent="0.25">
      <c r="A6">
        <v>5</v>
      </c>
      <c r="B6">
        <v>3000</v>
      </c>
      <c r="C6">
        <v>34719</v>
      </c>
      <c r="D6">
        <f t="shared" si="0"/>
        <v>25</v>
      </c>
      <c r="E6">
        <f t="shared" si="1"/>
        <v>173595</v>
      </c>
      <c r="F6">
        <f t="shared" si="2"/>
        <v>15000</v>
      </c>
      <c r="G6">
        <f t="shared" si="3"/>
        <v>104157000</v>
      </c>
      <c r="H6">
        <f t="shared" si="4"/>
        <v>9000000</v>
      </c>
    </row>
    <row r="7" spans="1:13" x14ac:dyDescent="0.25">
      <c r="A7">
        <v>6</v>
      </c>
      <c r="B7">
        <v>4000</v>
      </c>
      <c r="C7">
        <v>42551</v>
      </c>
      <c r="D7">
        <f t="shared" si="0"/>
        <v>36</v>
      </c>
      <c r="E7">
        <f t="shared" si="1"/>
        <v>255306</v>
      </c>
      <c r="F7">
        <f t="shared" si="2"/>
        <v>24000</v>
      </c>
      <c r="G7">
        <f t="shared" si="3"/>
        <v>170204000</v>
      </c>
      <c r="H7">
        <f t="shared" si="4"/>
        <v>16000000</v>
      </c>
    </row>
    <row r="8" spans="1:13" x14ac:dyDescent="0.25">
      <c r="A8">
        <v>7</v>
      </c>
      <c r="B8">
        <v>9000</v>
      </c>
      <c r="C8">
        <v>94871</v>
      </c>
      <c r="D8">
        <f t="shared" si="0"/>
        <v>49</v>
      </c>
      <c r="E8">
        <f t="shared" si="1"/>
        <v>664097</v>
      </c>
      <c r="F8">
        <f t="shared" si="2"/>
        <v>63000</v>
      </c>
      <c r="G8">
        <f t="shared" si="3"/>
        <v>853839000</v>
      </c>
      <c r="H8">
        <f t="shared" si="4"/>
        <v>81000000</v>
      </c>
    </row>
    <row r="9" spans="1:13" x14ac:dyDescent="0.25">
      <c r="A9">
        <v>8</v>
      </c>
      <c r="B9">
        <v>11000</v>
      </c>
      <c r="C9">
        <v>118914</v>
      </c>
      <c r="D9">
        <f t="shared" si="0"/>
        <v>64</v>
      </c>
      <c r="E9">
        <f t="shared" si="1"/>
        <v>951312</v>
      </c>
      <c r="F9">
        <f t="shared" si="2"/>
        <v>88000</v>
      </c>
      <c r="G9">
        <f t="shared" si="3"/>
        <v>1308054000</v>
      </c>
      <c r="H9">
        <f t="shared" si="4"/>
        <v>121000000</v>
      </c>
    </row>
    <row r="10" spans="1:13" x14ac:dyDescent="0.25">
      <c r="A10">
        <v>9</v>
      </c>
      <c r="B10">
        <v>15000</v>
      </c>
      <c r="C10">
        <v>158484</v>
      </c>
      <c r="D10">
        <f t="shared" si="0"/>
        <v>81</v>
      </c>
      <c r="E10">
        <f t="shared" si="1"/>
        <v>1426356</v>
      </c>
      <c r="F10">
        <f t="shared" si="2"/>
        <v>135000</v>
      </c>
      <c r="G10">
        <f t="shared" si="3"/>
        <v>2377260000</v>
      </c>
      <c r="H10">
        <f t="shared" si="4"/>
        <v>225000000</v>
      </c>
    </row>
    <row r="11" spans="1:13" x14ac:dyDescent="0.25">
      <c r="A11">
        <v>10</v>
      </c>
      <c r="B11">
        <v>12000</v>
      </c>
      <c r="C11">
        <v>131348</v>
      </c>
      <c r="D11">
        <f t="shared" si="0"/>
        <v>100</v>
      </c>
      <c r="E11">
        <f t="shared" si="1"/>
        <v>1313480</v>
      </c>
      <c r="F11">
        <f t="shared" si="2"/>
        <v>120000</v>
      </c>
      <c r="G11">
        <f t="shared" si="3"/>
        <v>1576176000</v>
      </c>
      <c r="H11">
        <f t="shared" si="4"/>
        <v>144000000</v>
      </c>
      <c r="J11" s="1" t="s">
        <v>32</v>
      </c>
      <c r="K11" s="4">
        <f>SUM(D2:D13)-(POWER(SUM(A2:A13),2)/(12))</f>
        <v>143</v>
      </c>
      <c r="L11" s="1" t="s">
        <v>35</v>
      </c>
      <c r="M11" s="4">
        <f>SUM(H2:H13)-(POWER(SUM(B2:B13),2)/12)</f>
        <v>202729166.66666669</v>
      </c>
    </row>
    <row r="12" spans="1:13" x14ac:dyDescent="0.25">
      <c r="A12">
        <v>11</v>
      </c>
      <c r="B12">
        <v>7000</v>
      </c>
      <c r="C12">
        <v>78504</v>
      </c>
      <c r="D12">
        <f t="shared" si="0"/>
        <v>121</v>
      </c>
      <c r="E12">
        <f t="shared" si="1"/>
        <v>863544</v>
      </c>
      <c r="F12">
        <f t="shared" si="2"/>
        <v>77000</v>
      </c>
      <c r="G12">
        <f t="shared" si="3"/>
        <v>549528000</v>
      </c>
      <c r="H12">
        <f t="shared" si="4"/>
        <v>49000000</v>
      </c>
      <c r="J12" s="1" t="s">
        <v>33</v>
      </c>
      <c r="K12" s="4">
        <f>SUM(E2:E13)-(SUM(A2:A13)*SUM(C2:C13)/12)</f>
        <v>1009248</v>
      </c>
      <c r="L12" s="1" t="s">
        <v>36</v>
      </c>
      <c r="M12" s="4">
        <f>SUM(G2:G13)-(SUM(B2:B13)*SUM(C2:C13)/12)</f>
        <v>2153428833.333333</v>
      </c>
    </row>
    <row r="13" spans="1:13" x14ac:dyDescent="0.25">
      <c r="A13">
        <v>12</v>
      </c>
      <c r="B13">
        <v>3000</v>
      </c>
      <c r="C13">
        <v>36284</v>
      </c>
      <c r="D13">
        <f t="shared" si="0"/>
        <v>144</v>
      </c>
      <c r="E13">
        <f t="shared" si="1"/>
        <v>435408</v>
      </c>
      <c r="F13">
        <f t="shared" si="2"/>
        <v>36000</v>
      </c>
      <c r="G13">
        <f t="shared" si="3"/>
        <v>108852000</v>
      </c>
      <c r="H13">
        <f t="shared" si="4"/>
        <v>9000000</v>
      </c>
      <c r="J13" s="1" t="s">
        <v>34</v>
      </c>
      <c r="K13" s="4">
        <f>SUM(F2:F13)-(SUM(A2:A13)*SUM(B2:B13)/12)</f>
        <v>89750</v>
      </c>
    </row>
    <row r="14" spans="1:13" x14ac:dyDescent="0.25">
      <c r="A14" s="1" t="s">
        <v>23</v>
      </c>
      <c r="B14" s="1" t="s">
        <v>8</v>
      </c>
      <c r="C14" s="1" t="s">
        <v>3</v>
      </c>
      <c r="D14" s="1" t="s">
        <v>24</v>
      </c>
      <c r="E14" s="1" t="s">
        <v>25</v>
      </c>
      <c r="F14" s="1" t="s">
        <v>26</v>
      </c>
      <c r="G14" s="1" t="s">
        <v>27</v>
      </c>
      <c r="H14" s="1" t="s">
        <v>28</v>
      </c>
    </row>
    <row r="15" spans="1:13" x14ac:dyDescent="0.25">
      <c r="J15" s="1" t="s">
        <v>44</v>
      </c>
    </row>
    <row r="16" spans="1:13" x14ac:dyDescent="0.25">
      <c r="J16" s="1" t="s">
        <v>37</v>
      </c>
      <c r="K16" s="3">
        <f>AVERAGE(C2:C13)-K17*AVERAGE(A2:A13)-K18*AVERAGE(B2:B13)</f>
        <v>-567.60976823333476</v>
      </c>
      <c r="M16" s="1" t="s">
        <v>42</v>
      </c>
    </row>
    <row r="17" spans="10:13" x14ac:dyDescent="0.25">
      <c r="J17" s="1" t="s">
        <v>39</v>
      </c>
      <c r="K17" s="3">
        <f>(M11*K12-K13*M12)/(K11*M11-POWER(K13, 2))</f>
        <v>541.37355730478305</v>
      </c>
      <c r="M17" t="s">
        <v>43</v>
      </c>
    </row>
    <row r="18" spans="10:13" x14ac:dyDescent="0.25">
      <c r="J18" s="1" t="s">
        <v>38</v>
      </c>
      <c r="K18" s="3">
        <f>(K11*M12-K13*K12)/(K11*M11-POWER(K13,2))</f>
        <v>10.382524582790152</v>
      </c>
    </row>
    <row r="20" spans="10:13" x14ac:dyDescent="0.25">
      <c r="J20" s="1" t="s">
        <v>40</v>
      </c>
    </row>
    <row r="21" spans="10:13" x14ac:dyDescent="0.25">
      <c r="J21" s="1" t="s">
        <v>41</v>
      </c>
    </row>
    <row r="22" spans="10:13" x14ac:dyDescent="0.25">
      <c r="J22">
        <f>K16+K17*K22+K18*L22</f>
        <v>213579.36457522711</v>
      </c>
      <c r="K22">
        <v>12</v>
      </c>
      <c r="L22">
        <v>20000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LinealSimple</vt:lpstr>
      <vt:lpstr>LinearMultiple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CC6</dc:creator>
  <cp:lastModifiedBy>CC6</cp:lastModifiedBy>
  <dcterms:created xsi:type="dcterms:W3CDTF">2026-06-24T02:29:24Z</dcterms:created>
  <dcterms:modified xsi:type="dcterms:W3CDTF">2026-06-24T22:30:43Z</dcterms:modified>
</cp:coreProperties>
</file>