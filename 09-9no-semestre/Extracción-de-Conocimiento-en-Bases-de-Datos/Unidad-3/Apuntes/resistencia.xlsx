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D - Unidad 3\"/>
    </mc:Choice>
  </mc:AlternateContent>
  <bookViews>
    <workbookView xWindow="0" yWindow="0" windowWidth="21570" windowHeight="7995"/>
  </bookViews>
  <sheets>
    <sheet name="resistencia" sheetId="1" r:id="rId1"/>
  </sheets>
  <calcPr calcId="162913"/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18" i="1"/>
  <c r="H19" i="1"/>
  <c r="H2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D2" i="1"/>
  <c r="H2" i="1" s="1"/>
  <c r="D3" i="1"/>
  <c r="H3" i="1" s="1"/>
  <c r="D4" i="1"/>
  <c r="H4" i="1" s="1"/>
  <c r="D5" i="1"/>
  <c r="H5" i="1" s="1"/>
  <c r="D6" i="1"/>
  <c r="H6" i="1" s="1"/>
  <c r="D7" i="1"/>
  <c r="H7" i="1" s="1"/>
  <c r="D8" i="1"/>
  <c r="H8" i="1" s="1"/>
  <c r="D9" i="1"/>
  <c r="H9" i="1" s="1"/>
  <c r="D10" i="1"/>
  <c r="D11" i="1"/>
  <c r="D12" i="1"/>
  <c r="D13" i="1"/>
  <c r="D14" i="1"/>
  <c r="D15" i="1"/>
  <c r="D16" i="1"/>
  <c r="D17" i="1"/>
  <c r="D18" i="1"/>
  <c r="D19" i="1"/>
  <c r="D20" i="1"/>
  <c r="K2" i="1"/>
</calcChain>
</file>

<file path=xl/sharedStrings.xml><?xml version="1.0" encoding="utf-8"?>
<sst xmlns="http://schemas.openxmlformats.org/spreadsheetml/2006/main" count="25" uniqueCount="25">
  <si>
    <t>concentracion</t>
  </si>
  <si>
    <t>resistencia</t>
  </si>
  <si>
    <t>x</t>
  </si>
  <si>
    <t>y</t>
  </si>
  <si>
    <t>Sx</t>
  </si>
  <si>
    <t>Sx^2</t>
  </si>
  <si>
    <t>Sx^3</t>
  </si>
  <si>
    <t>Sx^4</t>
  </si>
  <si>
    <t>Sy</t>
  </si>
  <si>
    <t>Sxy</t>
  </si>
  <si>
    <t>Sx^2y</t>
  </si>
  <si>
    <t>x^2</t>
  </si>
  <si>
    <t>x^3</t>
  </si>
  <si>
    <t>x^4</t>
  </si>
  <si>
    <t>xy</t>
  </si>
  <si>
    <t>x^2y</t>
  </si>
  <si>
    <t>concentración^2</t>
  </si>
  <si>
    <t>concentración^3</t>
  </si>
  <si>
    <t>concentración^4</t>
  </si>
  <si>
    <t>concentración*resistencia</t>
  </si>
  <si>
    <t>concentración^2*resistencia</t>
  </si>
  <si>
    <t>b0</t>
  </si>
  <si>
    <t>b1</t>
  </si>
  <si>
    <t>b2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</si>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</sst>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33" borderId="0" xfId="0" applyFill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9</xdr:row>
      <xdr:rowOff>9525</xdr:rowOff>
    </xdr:from>
    <xdr:to>
      <xdr:col>13</xdr:col>
      <xdr:colOff>619678</xdr:colOff>
      <xdr:row>17</xdr:row>
      <xdr:rowOff>82190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6100" y="1724025"/>
          <a:ext cx="3629578" cy="1596665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714375</xdr:colOff>
      <xdr:row>23</xdr:row>
      <xdr:rowOff>66675</xdr:rowOff>
    </xdr:from>
    <xdr:to>
      <xdr:col>18</xdr:col>
      <xdr:colOff>230234</xdr:colOff>
      <xdr:row>52</xdr:row>
      <xdr:rowOff>162709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8375" y="4448175"/>
          <a:ext cx="11707859" cy="5620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topLeftCell="D31" zoomScaleNormal="100" workbookViewId="0">
      <selection activeCell="M21" sqref="M21"/>
    </sheetView>
  </sheetViews>
  <sheetFormatPr baseColWidth="10"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11" x14ac:dyDescent="0.25">
      <c r="A2" s="1">
        <v>1</v>
      </c>
      <c r="B2" s="1">
        <v>1</v>
      </c>
      <c r="C2" s="1">
        <v>6.3</v>
      </c>
      <c r="D2" s="1">
        <f>POWER(B2, 2)</f>
        <v>1</v>
      </c>
      <c r="E2" s="1">
        <f>POWER(B2, 3)</f>
        <v>1</v>
      </c>
      <c r="F2" s="1">
        <f>POWER(B2, 4)</f>
        <v>1</v>
      </c>
      <c r="G2" s="1">
        <f>B2*C2</f>
        <v>6.3</v>
      </c>
      <c r="H2" s="1">
        <f>D2*C2</f>
        <v>6.3</v>
      </c>
      <c r="J2" t="s">
        <v>4</v>
      </c>
      <c r="K2" s="3">
        <f>SUM(B2:B20)</f>
        <v>138</v>
      </c>
    </row>
    <row r="3" spans="1:11" x14ac:dyDescent="0.25">
      <c r="A3" s="1">
        <v>2</v>
      </c>
      <c r="B3" s="1">
        <v>1.5</v>
      </c>
      <c r="C3" s="1">
        <v>11.1</v>
      </c>
      <c r="D3" s="1">
        <f t="shared" ref="D3:D20" si="0">POWER(B3, 2)</f>
        <v>2.25</v>
      </c>
      <c r="E3" s="1">
        <f t="shared" ref="E3:E20" si="1">POWER(B3, 3)</f>
        <v>3.375</v>
      </c>
      <c r="F3" s="1">
        <f t="shared" ref="F3:F20" si="2">POWER(B3, 4)</f>
        <v>5.0625</v>
      </c>
      <c r="G3" s="1">
        <f t="shared" ref="G3:G20" si="3">B3*C3</f>
        <v>16.649999999999999</v>
      </c>
      <c r="H3" s="1">
        <f t="shared" ref="H3:H20" si="4">D3*C3</f>
        <v>24.974999999999998</v>
      </c>
      <c r="J3" t="s">
        <v>5</v>
      </c>
      <c r="K3" s="3"/>
    </row>
    <row r="4" spans="1:11" x14ac:dyDescent="0.25">
      <c r="A4" s="1">
        <v>3</v>
      </c>
      <c r="B4" s="1">
        <v>2</v>
      </c>
      <c r="C4" s="1">
        <v>20</v>
      </c>
      <c r="D4" s="1">
        <f t="shared" si="0"/>
        <v>4</v>
      </c>
      <c r="E4" s="1">
        <f t="shared" si="1"/>
        <v>8</v>
      </c>
      <c r="F4" s="1">
        <f t="shared" si="2"/>
        <v>16</v>
      </c>
      <c r="G4" s="1">
        <f t="shared" si="3"/>
        <v>40</v>
      </c>
      <c r="H4" s="1">
        <f t="shared" si="4"/>
        <v>80</v>
      </c>
      <c r="J4" t="s">
        <v>6</v>
      </c>
      <c r="K4" s="3"/>
    </row>
    <row r="5" spans="1:11" x14ac:dyDescent="0.25">
      <c r="A5" s="1">
        <v>4</v>
      </c>
      <c r="B5" s="1">
        <v>3</v>
      </c>
      <c r="C5" s="1">
        <v>24</v>
      </c>
      <c r="D5" s="1">
        <f t="shared" si="0"/>
        <v>9</v>
      </c>
      <c r="E5" s="1">
        <f t="shared" si="1"/>
        <v>27</v>
      </c>
      <c r="F5" s="1">
        <f t="shared" si="2"/>
        <v>81</v>
      </c>
      <c r="G5" s="1">
        <f t="shared" si="3"/>
        <v>72</v>
      </c>
      <c r="H5" s="1">
        <f t="shared" si="4"/>
        <v>216</v>
      </c>
      <c r="J5" t="s">
        <v>7</v>
      </c>
      <c r="K5" s="3"/>
    </row>
    <row r="6" spans="1:11" x14ac:dyDescent="0.25">
      <c r="A6" s="1">
        <v>5</v>
      </c>
      <c r="B6" s="1">
        <v>4</v>
      </c>
      <c r="C6" s="1">
        <v>26.1</v>
      </c>
      <c r="D6" s="1">
        <f t="shared" si="0"/>
        <v>16</v>
      </c>
      <c r="E6" s="1">
        <f t="shared" si="1"/>
        <v>64</v>
      </c>
      <c r="F6" s="1">
        <f t="shared" si="2"/>
        <v>256</v>
      </c>
      <c r="G6" s="1">
        <f t="shared" si="3"/>
        <v>104.4</v>
      </c>
      <c r="H6" s="1">
        <f t="shared" si="4"/>
        <v>417.6</v>
      </c>
      <c r="J6" t="s">
        <v>8</v>
      </c>
      <c r="K6" s="3"/>
    </row>
    <row r="7" spans="1:11" x14ac:dyDescent="0.25">
      <c r="A7" s="1">
        <v>6</v>
      </c>
      <c r="B7" s="1">
        <v>4.5</v>
      </c>
      <c r="C7" s="1">
        <v>30</v>
      </c>
      <c r="D7" s="1">
        <f t="shared" si="0"/>
        <v>20.25</v>
      </c>
      <c r="E7" s="1">
        <f t="shared" si="1"/>
        <v>91.125</v>
      </c>
      <c r="F7" s="1">
        <f t="shared" si="2"/>
        <v>410.0625</v>
      </c>
      <c r="G7" s="1">
        <f t="shared" si="3"/>
        <v>135</v>
      </c>
      <c r="H7" s="1">
        <f t="shared" si="4"/>
        <v>607.5</v>
      </c>
      <c r="J7" t="s">
        <v>9</v>
      </c>
      <c r="K7" s="3"/>
    </row>
    <row r="8" spans="1:11" x14ac:dyDescent="0.25">
      <c r="A8" s="1">
        <v>7</v>
      </c>
      <c r="B8" s="1">
        <v>5</v>
      </c>
      <c r="C8" s="1">
        <v>33.799999999999997</v>
      </c>
      <c r="D8" s="1">
        <f t="shared" si="0"/>
        <v>25</v>
      </c>
      <c r="E8" s="1">
        <f t="shared" si="1"/>
        <v>125</v>
      </c>
      <c r="F8" s="1">
        <f t="shared" si="2"/>
        <v>625</v>
      </c>
      <c r="G8" s="1">
        <f t="shared" si="3"/>
        <v>169</v>
      </c>
      <c r="H8" s="1">
        <f t="shared" si="4"/>
        <v>844.99999999999989</v>
      </c>
      <c r="J8" t="s">
        <v>10</v>
      </c>
      <c r="K8" s="3"/>
    </row>
    <row r="9" spans="1:11" x14ac:dyDescent="0.25">
      <c r="A9" s="1">
        <v>8</v>
      </c>
      <c r="B9" s="1">
        <v>5.5</v>
      </c>
      <c r="C9" s="1">
        <v>34</v>
      </c>
      <c r="D9" s="1">
        <f t="shared" si="0"/>
        <v>30.25</v>
      </c>
      <c r="E9" s="1">
        <f t="shared" si="1"/>
        <v>166.375</v>
      </c>
      <c r="F9" s="1">
        <f t="shared" si="2"/>
        <v>915.0625</v>
      </c>
      <c r="G9" s="1">
        <f t="shared" si="3"/>
        <v>187</v>
      </c>
      <c r="H9" s="1">
        <f t="shared" si="4"/>
        <v>1028.5</v>
      </c>
    </row>
    <row r="10" spans="1:11" x14ac:dyDescent="0.25">
      <c r="A10" s="1">
        <v>9</v>
      </c>
      <c r="B10" s="1">
        <v>6</v>
      </c>
      <c r="C10" s="1">
        <v>38.1</v>
      </c>
      <c r="D10" s="1">
        <f t="shared" si="0"/>
        <v>36</v>
      </c>
      <c r="E10" s="1">
        <f t="shared" si="1"/>
        <v>216</v>
      </c>
      <c r="F10" s="1">
        <f t="shared" si="2"/>
        <v>1296</v>
      </c>
      <c r="G10" s="1">
        <f t="shared" si="3"/>
        <v>228.60000000000002</v>
      </c>
      <c r="H10" s="1">
        <f t="shared" si="4"/>
        <v>1371.6000000000001</v>
      </c>
    </row>
    <row r="11" spans="1:11" x14ac:dyDescent="0.25">
      <c r="A11" s="1">
        <v>10</v>
      </c>
      <c r="B11" s="1">
        <v>6.5</v>
      </c>
      <c r="C11" s="1">
        <v>39.9</v>
      </c>
      <c r="D11" s="1">
        <f t="shared" si="0"/>
        <v>42.25</v>
      </c>
      <c r="E11" s="1">
        <f t="shared" si="1"/>
        <v>274.625</v>
      </c>
      <c r="F11" s="1">
        <f t="shared" si="2"/>
        <v>1785.0625</v>
      </c>
      <c r="G11" s="1">
        <f t="shared" si="3"/>
        <v>259.34999999999997</v>
      </c>
      <c r="H11" s="1">
        <f t="shared" si="4"/>
        <v>1685.7749999999999</v>
      </c>
    </row>
    <row r="12" spans="1:11" x14ac:dyDescent="0.25">
      <c r="A12" s="1">
        <v>11</v>
      </c>
      <c r="B12" s="1">
        <v>7</v>
      </c>
      <c r="C12" s="1">
        <v>42</v>
      </c>
      <c r="D12" s="1">
        <f t="shared" si="0"/>
        <v>49</v>
      </c>
      <c r="E12" s="1">
        <f t="shared" si="1"/>
        <v>343</v>
      </c>
      <c r="F12" s="1">
        <f t="shared" si="2"/>
        <v>2401</v>
      </c>
      <c r="G12" s="1">
        <f t="shared" si="3"/>
        <v>294</v>
      </c>
      <c r="H12" s="1">
        <f t="shared" si="4"/>
        <v>2058</v>
      </c>
    </row>
    <row r="13" spans="1:11" x14ac:dyDescent="0.25">
      <c r="A13" s="1">
        <v>12</v>
      </c>
      <c r="B13" s="1">
        <v>8</v>
      </c>
      <c r="C13" s="1">
        <v>46.1</v>
      </c>
      <c r="D13" s="1">
        <f t="shared" si="0"/>
        <v>64</v>
      </c>
      <c r="E13" s="1">
        <f t="shared" si="1"/>
        <v>512</v>
      </c>
      <c r="F13" s="1">
        <f t="shared" si="2"/>
        <v>4096</v>
      </c>
      <c r="G13" s="1">
        <f t="shared" si="3"/>
        <v>368.8</v>
      </c>
      <c r="H13" s="1">
        <f t="shared" si="4"/>
        <v>2950.4</v>
      </c>
    </row>
    <row r="14" spans="1:11" x14ac:dyDescent="0.25">
      <c r="A14" s="1">
        <v>13</v>
      </c>
      <c r="B14" s="1">
        <v>9</v>
      </c>
      <c r="C14" s="1">
        <v>53.1</v>
      </c>
      <c r="D14" s="1">
        <f t="shared" si="0"/>
        <v>81</v>
      </c>
      <c r="E14" s="1">
        <f t="shared" si="1"/>
        <v>729</v>
      </c>
      <c r="F14" s="1">
        <f t="shared" si="2"/>
        <v>6561</v>
      </c>
      <c r="G14" s="1">
        <f t="shared" si="3"/>
        <v>477.90000000000003</v>
      </c>
      <c r="H14" s="1">
        <f t="shared" si="4"/>
        <v>4301.1000000000004</v>
      </c>
    </row>
    <row r="15" spans="1:11" x14ac:dyDescent="0.25">
      <c r="A15" s="1">
        <v>14</v>
      </c>
      <c r="B15" s="1">
        <v>10</v>
      </c>
      <c r="C15" s="1">
        <v>52</v>
      </c>
      <c r="D15" s="1">
        <f t="shared" si="0"/>
        <v>100</v>
      </c>
      <c r="E15" s="1">
        <f t="shared" si="1"/>
        <v>1000</v>
      </c>
      <c r="F15" s="1">
        <f t="shared" si="2"/>
        <v>10000</v>
      </c>
      <c r="G15" s="1">
        <f t="shared" si="3"/>
        <v>520</v>
      </c>
      <c r="H15" s="1">
        <f t="shared" si="4"/>
        <v>5200</v>
      </c>
    </row>
    <row r="16" spans="1:11" x14ac:dyDescent="0.25">
      <c r="A16" s="1">
        <v>15</v>
      </c>
      <c r="B16" s="1">
        <v>11</v>
      </c>
      <c r="C16" s="1">
        <v>52.5</v>
      </c>
      <c r="D16" s="1">
        <f t="shared" si="0"/>
        <v>121</v>
      </c>
      <c r="E16" s="1">
        <f t="shared" si="1"/>
        <v>1331</v>
      </c>
      <c r="F16" s="1">
        <f t="shared" si="2"/>
        <v>14641</v>
      </c>
      <c r="G16" s="1">
        <f t="shared" si="3"/>
        <v>577.5</v>
      </c>
      <c r="H16" s="1">
        <f t="shared" si="4"/>
        <v>6352.5</v>
      </c>
    </row>
    <row r="17" spans="1:13" x14ac:dyDescent="0.25">
      <c r="A17" s="1">
        <v>16</v>
      </c>
      <c r="B17" s="1">
        <v>12</v>
      </c>
      <c r="C17" s="1">
        <v>48</v>
      </c>
      <c r="D17" s="1">
        <f t="shared" si="0"/>
        <v>144</v>
      </c>
      <c r="E17" s="1">
        <f t="shared" si="1"/>
        <v>1728</v>
      </c>
      <c r="F17" s="1">
        <f t="shared" si="2"/>
        <v>20736</v>
      </c>
      <c r="G17" s="1">
        <f t="shared" si="3"/>
        <v>576</v>
      </c>
      <c r="H17" s="1">
        <f t="shared" si="4"/>
        <v>6912</v>
      </c>
    </row>
    <row r="18" spans="1:13" x14ac:dyDescent="0.25">
      <c r="A18" s="1">
        <v>17</v>
      </c>
      <c r="B18" s="1">
        <v>13</v>
      </c>
      <c r="C18" s="1">
        <v>42.8</v>
      </c>
      <c r="D18" s="1">
        <f t="shared" si="0"/>
        <v>169</v>
      </c>
      <c r="E18" s="1">
        <f t="shared" si="1"/>
        <v>2197</v>
      </c>
      <c r="F18" s="1">
        <f t="shared" si="2"/>
        <v>28561</v>
      </c>
      <c r="G18" s="1">
        <f t="shared" si="3"/>
        <v>556.4</v>
      </c>
      <c r="H18" s="1">
        <f t="shared" si="4"/>
        <v>7233.2</v>
      </c>
    </row>
    <row r="19" spans="1:13" x14ac:dyDescent="0.25">
      <c r="A19" s="1">
        <v>18</v>
      </c>
      <c r="B19" s="1">
        <v>14</v>
      </c>
      <c r="C19" s="1">
        <v>27.8</v>
      </c>
      <c r="D19" s="1">
        <f t="shared" si="0"/>
        <v>196</v>
      </c>
      <c r="E19" s="1">
        <f t="shared" si="1"/>
        <v>2744</v>
      </c>
      <c r="F19" s="1">
        <f t="shared" si="2"/>
        <v>38416</v>
      </c>
      <c r="G19" s="1">
        <f t="shared" si="3"/>
        <v>389.2</v>
      </c>
      <c r="H19" s="1">
        <f t="shared" si="4"/>
        <v>5448.8</v>
      </c>
      <c r="J19" s="4" t="s">
        <v>21</v>
      </c>
      <c r="K19" s="4" t="s">
        <v>22</v>
      </c>
      <c r="L19" s="4" t="s">
        <v>23</v>
      </c>
      <c r="M19" s="4" t="s">
        <v>24</v>
      </c>
    </row>
    <row r="20" spans="1:13" x14ac:dyDescent="0.25">
      <c r="A20" s="1">
        <v>19</v>
      </c>
      <c r="B20" s="1">
        <v>15</v>
      </c>
      <c r="C20" s="1">
        <v>21.9</v>
      </c>
      <c r="D20" s="1">
        <f t="shared" si="0"/>
        <v>225</v>
      </c>
      <c r="E20" s="1">
        <f t="shared" si="1"/>
        <v>3375</v>
      </c>
      <c r="F20" s="1">
        <f t="shared" si="2"/>
        <v>50625</v>
      </c>
      <c r="G20" s="1">
        <f t="shared" si="3"/>
        <v>328.5</v>
      </c>
      <c r="H20" s="1">
        <f t="shared" si="4"/>
        <v>4927.5</v>
      </c>
    </row>
    <row r="21" spans="1:13" x14ac:dyDescent="0.25">
      <c r="A21" s="2"/>
      <c r="B21" s="2" t="s">
        <v>2</v>
      </c>
      <c r="C21" s="2" t="s">
        <v>3</v>
      </c>
      <c r="D21" s="2" t="s">
        <v>11</v>
      </c>
      <c r="E21" s="2" t="s">
        <v>12</v>
      </c>
      <c r="F21" s="2" t="s">
        <v>13</v>
      </c>
      <c r="G21" s="2" t="s">
        <v>14</v>
      </c>
      <c r="H21" s="2" t="s">
        <v>15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CC6</dc:creator>
  <cp:lastModifiedBy>CC6</cp:lastModifiedBy>
  <dcterms:created xsi:type="dcterms:W3CDTF">2026-06-24T22:44:14Z</dcterms:created>
  <dcterms:modified xsi:type="dcterms:W3CDTF">2026-06-24T22:45:38Z</dcterms:modified>
</cp:coreProperties>
</file>